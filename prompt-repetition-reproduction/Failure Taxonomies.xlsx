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<sst xmlns="http://schemas.openxmlformats.org/spreadsheetml/2006/main" count="199" uniqueCount="25">
  <si>
    <t>Model</t>
  </si>
  <si>
    <t>Run</t>
  </si>
  <si>
    <t>Condition</t>
  </si>
  <si>
    <t>Error</t>
  </si>
  <si>
    <t>Blocked</t>
  </si>
  <si>
    <t>Empty</t>
  </si>
  <si>
    <t>Leaked</t>
  </si>
  <si>
    <t>Other</t>
  </si>
  <si>
    <t>Total Fail</t>
  </si>
  <si>
    <t>Total n</t>
  </si>
  <si>
    <t>Scoreable n</t>
  </si>
  <si>
    <t>% Correct</t>
  </si>
  <si>
    <t>Instruction</t>
  </si>
  <si>
    <t>gemini-3.1-flash-lite</t>
  </si>
  <si>
    <t>baseline</t>
  </si>
  <si>
    <t>Mandarin</t>
  </si>
  <si>
    <t>repetition</t>
  </si>
  <si>
    <t>gemini-3.5-flash-lite</t>
  </si>
  <si>
    <t>gemini-3.5-flash</t>
  </si>
  <si>
    <t>rep2x</t>
  </si>
  <si>
    <t>rep3x</t>
  </si>
  <si>
    <t>rep4x</t>
  </si>
  <si>
    <t>gemini-3.6-flash</t>
  </si>
  <si>
    <t>gemini-3.7-flash</t>
  </si>
  <si>
    <t>gemini-3.8-flash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</si>
</sst>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14.0"/>
      <color theme="1"/>
      <name val="Times New Roman"/>
    </font>
    <font>
      <u/>
      <sz val="14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8.88"/>
    <col customWidth="1" min="4" max="5" width="12.63"/>
    <col customWidth="1" min="14" max="14" width="12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2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</row>
    <row r="2">
      <c r="A2" s="3" t="s">
        <v>13</v>
      </c>
      <c r="B2" s="4">
        <v>1.0</v>
      </c>
      <c r="C2" s="3" t="s">
        <v>14</v>
      </c>
      <c r="D2" s="3">
        <v>0.0</v>
      </c>
      <c r="E2" s="3">
        <v>0.0</v>
      </c>
      <c r="F2" s="3">
        <v>0.0</v>
      </c>
      <c r="G2" s="3">
        <v>0.0</v>
      </c>
      <c r="H2" s="3">
        <v>22.0</v>
      </c>
      <c r="I2" s="3">
        <f>SUM(D2:H3)</f>
        <v>22</v>
      </c>
      <c r="J2" s="3">
        <v>75.0</v>
      </c>
      <c r="K2" s="3">
        <f>75-D2</f>
        <v>75</v>
      </c>
      <c r="L2" s="5">
        <f>(K2-I2)/K2</f>
        <v>0.7066666667</v>
      </c>
      <c r="N2" s="3" t="s">
        <v>15</v>
      </c>
      <c r="O2" s="3" t="s">
        <v>14</v>
      </c>
      <c r="P2" s="3">
        <v>0.0</v>
      </c>
      <c r="Q2" s="3">
        <v>0.0</v>
      </c>
      <c r="R2" s="3">
        <v>0.0</v>
      </c>
      <c r="S2" s="3">
        <v>17.0</v>
      </c>
      <c r="T2" s="3">
        <v>8.0</v>
      </c>
      <c r="U2" s="3">
        <f>SUM(P2:T3)</f>
        <v>25</v>
      </c>
      <c r="V2" s="3">
        <v>75.0</v>
      </c>
      <c r="W2" s="3">
        <f>75-P2</f>
        <v>75</v>
      </c>
      <c r="X2" s="5">
        <f>(W2-U2)/W2</f>
        <v>0.6666666667</v>
      </c>
    </row>
    <row r="4">
      <c r="A4" s="3" t="s">
        <v>13</v>
      </c>
      <c r="B4" s="4">
        <v>1.0</v>
      </c>
      <c r="C4" s="3" t="s">
        <v>16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f>SUM(D4:H5)</f>
        <v>0</v>
      </c>
      <c r="J4" s="3">
        <v>75.0</v>
      </c>
      <c r="K4" s="3">
        <f>75-D4</f>
        <v>75</v>
      </c>
      <c r="L4" s="5">
        <f>(K4-I4)/K4</f>
        <v>1</v>
      </c>
      <c r="N4" s="3" t="s">
        <v>15</v>
      </c>
      <c r="O4" s="3" t="s">
        <v>16</v>
      </c>
      <c r="P4" s="3">
        <v>0.0</v>
      </c>
      <c r="Q4" s="3">
        <v>0.0</v>
      </c>
      <c r="R4" s="3">
        <v>0.0</v>
      </c>
      <c r="S4" s="3">
        <v>2.0</v>
      </c>
      <c r="T4" s="3">
        <v>1.0</v>
      </c>
      <c r="U4" s="3">
        <f>SUM(P4:T5)</f>
        <v>3</v>
      </c>
      <c r="V4" s="3">
        <v>75.0</v>
      </c>
      <c r="W4" s="3">
        <f>75-P4</f>
        <v>75</v>
      </c>
      <c r="X4" s="5">
        <f>(W4-U4)/W4</f>
        <v>0.96</v>
      </c>
    </row>
    <row r="6">
      <c r="A6" s="3" t="s">
        <v>13</v>
      </c>
      <c r="B6" s="4">
        <v>2.0</v>
      </c>
      <c r="C6" s="3" t="s">
        <v>14</v>
      </c>
      <c r="D6" s="3">
        <v>0.0</v>
      </c>
      <c r="E6" s="3">
        <v>0.0</v>
      </c>
      <c r="F6" s="3">
        <v>0.0</v>
      </c>
      <c r="G6" s="3">
        <v>0.0</v>
      </c>
      <c r="H6" s="3">
        <v>22.0</v>
      </c>
      <c r="I6" s="3">
        <f>SUM(D6:H7)</f>
        <v>22</v>
      </c>
      <c r="J6" s="3">
        <v>75.0</v>
      </c>
      <c r="K6" s="3">
        <f>75-D6</f>
        <v>75</v>
      </c>
      <c r="L6" s="5">
        <f>(K6-I6)/K6</f>
        <v>0.7066666667</v>
      </c>
      <c r="N6" s="3" t="s">
        <v>15</v>
      </c>
      <c r="O6" s="3" t="s">
        <v>14</v>
      </c>
      <c r="P6" s="3">
        <v>0.0</v>
      </c>
      <c r="Q6" s="3">
        <v>0.0</v>
      </c>
      <c r="R6" s="3">
        <v>2.0</v>
      </c>
      <c r="S6" s="3">
        <v>10.0</v>
      </c>
      <c r="T6" s="3">
        <v>8.0</v>
      </c>
      <c r="U6" s="3">
        <f>SUM(P6:T7)</f>
        <v>20</v>
      </c>
      <c r="V6" s="3">
        <v>75.0</v>
      </c>
      <c r="W6" s="3">
        <f>75-P6</f>
        <v>75</v>
      </c>
      <c r="X6" s="5">
        <f>(W6-U6)/W6</f>
        <v>0.7333333333</v>
      </c>
    </row>
    <row r="8">
      <c r="A8" s="3" t="s">
        <v>13</v>
      </c>
      <c r="B8" s="4">
        <v>2.0</v>
      </c>
      <c r="C8" s="3" t="s">
        <v>16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f>SUM(D8:H9)</f>
        <v>0</v>
      </c>
      <c r="J8" s="3">
        <v>75.0</v>
      </c>
      <c r="K8" s="3">
        <f>75-D8</f>
        <v>75</v>
      </c>
      <c r="L8" s="5">
        <f>(K8-I8)/K8</f>
        <v>1</v>
      </c>
      <c r="N8" s="3" t="s">
        <v>15</v>
      </c>
      <c r="O8" s="3" t="s">
        <v>16</v>
      </c>
      <c r="P8" s="3">
        <v>0.0</v>
      </c>
      <c r="Q8" s="3">
        <v>0.0</v>
      </c>
      <c r="R8" s="3">
        <v>1.0</v>
      </c>
      <c r="S8" s="3">
        <v>3.0</v>
      </c>
      <c r="T8" s="3">
        <v>1.0</v>
      </c>
      <c r="U8" s="3">
        <f>SUM(P8:T9)</f>
        <v>5</v>
      </c>
      <c r="V8" s="3">
        <v>75.0</v>
      </c>
      <c r="W8" s="3">
        <f>75-P8</f>
        <v>75</v>
      </c>
      <c r="X8" s="5">
        <f>(W8-U8)/W8</f>
        <v>0.9333333333</v>
      </c>
    </row>
    <row r="10">
      <c r="A10" s="3" t="s">
        <v>13</v>
      </c>
      <c r="B10" s="4">
        <v>3.0</v>
      </c>
      <c r="C10" s="3" t="s">
        <v>14</v>
      </c>
      <c r="D10" s="3">
        <v>0.0</v>
      </c>
      <c r="E10" s="3">
        <v>0.0</v>
      </c>
      <c r="F10" s="3">
        <v>0.0</v>
      </c>
      <c r="G10" s="3">
        <v>0.0</v>
      </c>
      <c r="H10" s="3">
        <v>22.0</v>
      </c>
      <c r="I10" s="3">
        <f>SUM(D10:H11)</f>
        <v>22</v>
      </c>
      <c r="J10" s="3">
        <v>75.0</v>
      </c>
      <c r="K10" s="3">
        <f>75-D10</f>
        <v>75</v>
      </c>
      <c r="L10" s="5">
        <f>(K10-I10)/K10</f>
        <v>0.7066666667</v>
      </c>
      <c r="N10" s="3" t="s">
        <v>15</v>
      </c>
      <c r="O10" s="3" t="s">
        <v>14</v>
      </c>
      <c r="P10" s="3">
        <v>0.0</v>
      </c>
      <c r="Q10" s="3">
        <v>0.0</v>
      </c>
      <c r="R10" s="3">
        <v>0.0</v>
      </c>
      <c r="S10" s="3">
        <v>9.0</v>
      </c>
      <c r="T10" s="3">
        <v>12.0</v>
      </c>
      <c r="U10" s="3">
        <f>SUM(P10:T11)</f>
        <v>21</v>
      </c>
      <c r="V10" s="3">
        <v>75.0</v>
      </c>
      <c r="W10" s="3">
        <f>75-P10</f>
        <v>75</v>
      </c>
      <c r="X10" s="5">
        <f>(W10-U10)/W10</f>
        <v>0.72</v>
      </c>
    </row>
    <row r="12">
      <c r="A12" s="3" t="s">
        <v>13</v>
      </c>
      <c r="B12" s="4">
        <v>3.0</v>
      </c>
      <c r="C12" s="3" t="s">
        <v>16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f>SUM(D12:H13)</f>
        <v>0</v>
      </c>
      <c r="J12" s="3">
        <v>75.0</v>
      </c>
      <c r="K12" s="3">
        <f>75-D12</f>
        <v>75</v>
      </c>
      <c r="L12" s="5">
        <f>(K12-I12)/K12</f>
        <v>1</v>
      </c>
      <c r="N12" s="3" t="s">
        <v>15</v>
      </c>
      <c r="O12" s="3" t="s">
        <v>16</v>
      </c>
      <c r="P12" s="3">
        <v>0.0</v>
      </c>
      <c r="Q12" s="3">
        <v>0.0</v>
      </c>
      <c r="R12" s="3">
        <v>1.0</v>
      </c>
      <c r="S12" s="3">
        <v>3.0</v>
      </c>
      <c r="T12" s="3">
        <v>2.0</v>
      </c>
      <c r="U12" s="3">
        <f>SUM(P12:T13)</f>
        <v>6</v>
      </c>
      <c r="V12" s="3">
        <v>75.0</v>
      </c>
      <c r="W12" s="3">
        <f>75-P12</f>
        <v>75</v>
      </c>
      <c r="X12" s="5">
        <f>(W12-U12)/W12</f>
        <v>0.92</v>
      </c>
    </row>
    <row r="14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</row>
    <row r="15">
      <c r="A15" s="3" t="s">
        <v>17</v>
      </c>
      <c r="B15" s="4">
        <v>1.0</v>
      </c>
      <c r="C15" s="3" t="s">
        <v>14</v>
      </c>
      <c r="D15" s="3">
        <v>0.0</v>
      </c>
      <c r="E15" s="3">
        <v>0.0</v>
      </c>
      <c r="F15" s="3">
        <v>0.0</v>
      </c>
      <c r="G15" s="3">
        <v>0.0</v>
      </c>
      <c r="H15" s="3">
        <v>40.0</v>
      </c>
      <c r="I15" s="3">
        <f>SUM(D15:H16)</f>
        <v>40</v>
      </c>
      <c r="J15" s="3">
        <v>75.0</v>
      </c>
      <c r="K15" s="3">
        <f>75-D15</f>
        <v>75</v>
      </c>
      <c r="L15" s="5">
        <f>(K15-I15)/K15</f>
        <v>0.4666666667</v>
      </c>
    </row>
    <row r="17">
      <c r="A17" s="3" t="s">
        <v>17</v>
      </c>
      <c r="B17" s="4">
        <v>1.0</v>
      </c>
      <c r="C17" s="3" t="s">
        <v>16</v>
      </c>
      <c r="D17" s="3">
        <v>0.0</v>
      </c>
      <c r="E17" s="3">
        <v>0.0</v>
      </c>
      <c r="F17" s="3">
        <v>0.0</v>
      </c>
      <c r="G17" s="3">
        <v>0.0</v>
      </c>
      <c r="H17" s="3">
        <v>4.0</v>
      </c>
      <c r="I17" s="3">
        <f>SUM(D17:H18)</f>
        <v>4</v>
      </c>
      <c r="J17" s="3">
        <v>75.0</v>
      </c>
      <c r="K17" s="3">
        <f>75-D17</f>
        <v>75</v>
      </c>
      <c r="L17" s="5">
        <f>(K17-I17)/K17</f>
        <v>0.9466666667</v>
      </c>
    </row>
    <row r="19">
      <c r="A19" s="3" t="s">
        <v>17</v>
      </c>
      <c r="B19" s="4">
        <v>2.0</v>
      </c>
      <c r="C19" s="3" t="s">
        <v>14</v>
      </c>
      <c r="D19" s="3">
        <v>0.0</v>
      </c>
      <c r="E19" s="3">
        <v>0.0</v>
      </c>
      <c r="F19" s="3">
        <v>0.0</v>
      </c>
      <c r="G19" s="3">
        <v>0.0</v>
      </c>
      <c r="H19" s="3">
        <v>41.0</v>
      </c>
      <c r="I19" s="3">
        <f>SUM(D19:H20)</f>
        <v>41</v>
      </c>
      <c r="J19" s="3">
        <v>75.0</v>
      </c>
      <c r="K19" s="3">
        <f>75-D19</f>
        <v>75</v>
      </c>
      <c r="L19" s="5">
        <f>(K19-I19)/K19</f>
        <v>0.4533333333</v>
      </c>
    </row>
    <row r="21">
      <c r="A21" s="3" t="s">
        <v>17</v>
      </c>
      <c r="B21" s="4">
        <v>2.0</v>
      </c>
      <c r="C21" s="3" t="s">
        <v>16</v>
      </c>
      <c r="D21" s="3">
        <v>0.0</v>
      </c>
      <c r="E21" s="3">
        <v>0.0</v>
      </c>
      <c r="F21" s="3">
        <v>0.0</v>
      </c>
      <c r="G21" s="3">
        <v>0.0</v>
      </c>
      <c r="H21" s="3">
        <v>4.0</v>
      </c>
      <c r="I21" s="3">
        <f>SUM(D21:H22)</f>
        <v>4</v>
      </c>
      <c r="J21" s="3">
        <v>75.0</v>
      </c>
      <c r="K21" s="3">
        <f>75-D21</f>
        <v>75</v>
      </c>
      <c r="L21" s="5">
        <f>(K21-I21)/K21</f>
        <v>0.9466666667</v>
      </c>
    </row>
    <row r="23">
      <c r="A23" s="3" t="s">
        <v>17</v>
      </c>
      <c r="B23" s="4">
        <v>3.0</v>
      </c>
      <c r="C23" s="3" t="s">
        <v>14</v>
      </c>
      <c r="D23" s="3">
        <v>0.0</v>
      </c>
      <c r="E23" s="3">
        <v>0.0</v>
      </c>
      <c r="F23" s="3">
        <v>0.0</v>
      </c>
      <c r="G23" s="3">
        <v>0.0</v>
      </c>
      <c r="H23" s="3">
        <v>42.0</v>
      </c>
      <c r="I23" s="3">
        <f>SUM(D23:H24)</f>
        <v>42</v>
      </c>
      <c r="J23" s="3">
        <v>75.0</v>
      </c>
      <c r="K23" s="3">
        <f>75-D23</f>
        <v>75</v>
      </c>
      <c r="L23" s="5">
        <f>(K23-I23)/K23</f>
        <v>0.44</v>
      </c>
    </row>
    <row r="25">
      <c r="A25" s="3" t="s">
        <v>17</v>
      </c>
      <c r="B25" s="4">
        <v>3.0</v>
      </c>
      <c r="C25" s="3" t="s">
        <v>16</v>
      </c>
      <c r="D25" s="3">
        <v>0.0</v>
      </c>
      <c r="E25" s="3">
        <v>0.0</v>
      </c>
      <c r="F25" s="3">
        <v>0.0</v>
      </c>
      <c r="G25" s="3">
        <v>0.0</v>
      </c>
      <c r="H25" s="3">
        <v>2.0</v>
      </c>
      <c r="I25" s="3">
        <f>SUM(D25:H26)</f>
        <v>2</v>
      </c>
      <c r="J25" s="3">
        <v>75.0</v>
      </c>
      <c r="K25" s="3">
        <f>75-D25</f>
        <v>75</v>
      </c>
      <c r="L25" s="5">
        <f>(K25-I25)/K25</f>
        <v>0.9733333333</v>
      </c>
    </row>
    <row r="27">
      <c r="A27" s="1" t="s">
        <v>0</v>
      </c>
      <c r="B27" s="1" t="s">
        <v>1</v>
      </c>
      <c r="C27" s="2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N27" s="2" t="s">
        <v>2</v>
      </c>
      <c r="O27" s="1" t="s">
        <v>1</v>
      </c>
      <c r="P27" s="1" t="s">
        <v>3</v>
      </c>
      <c r="Q27" s="1" t="s">
        <v>4</v>
      </c>
      <c r="R27" s="1" t="s">
        <v>5</v>
      </c>
      <c r="S27" s="1" t="s">
        <v>6</v>
      </c>
      <c r="T27" s="1" t="s">
        <v>7</v>
      </c>
      <c r="U27" s="1" t="s">
        <v>8</v>
      </c>
      <c r="V27" s="1" t="s">
        <v>9</v>
      </c>
      <c r="W27" s="1" t="s">
        <v>10</v>
      </c>
      <c r="X27" s="1" t="s">
        <v>11</v>
      </c>
    </row>
    <row r="28">
      <c r="A28" s="3" t="s">
        <v>18</v>
      </c>
      <c r="B28" s="4">
        <v>1.0</v>
      </c>
      <c r="C28" s="3" t="s">
        <v>14</v>
      </c>
      <c r="D28" s="3">
        <v>0.0</v>
      </c>
      <c r="E28" s="3">
        <v>0.0</v>
      </c>
      <c r="F28" s="3">
        <v>0.0</v>
      </c>
      <c r="G28" s="3">
        <v>4.0</v>
      </c>
      <c r="H28" s="3">
        <v>4.0</v>
      </c>
      <c r="I28" s="3">
        <f>SUM(D28:H29)</f>
        <v>8</v>
      </c>
      <c r="J28" s="3">
        <v>75.0</v>
      </c>
      <c r="K28" s="3">
        <f>75-D28</f>
        <v>75</v>
      </c>
      <c r="L28" s="5">
        <f>(K28-I28)/K28</f>
        <v>0.8933333333</v>
      </c>
      <c r="N28" s="3" t="s">
        <v>19</v>
      </c>
      <c r="O28" s="4">
        <v>1.0</v>
      </c>
      <c r="P28" s="3">
        <v>1.0</v>
      </c>
      <c r="Q28" s="3">
        <v>0.0</v>
      </c>
      <c r="R28" s="3">
        <v>1.0</v>
      </c>
      <c r="S28" s="3">
        <v>0.0</v>
      </c>
      <c r="T28" s="3">
        <v>4.0</v>
      </c>
      <c r="U28" s="3">
        <f>SUM(P28:T29)</f>
        <v>6</v>
      </c>
      <c r="V28" s="3">
        <v>75.0</v>
      </c>
      <c r="W28" s="3">
        <f>75-P28</f>
        <v>74</v>
      </c>
      <c r="X28" s="5">
        <f>(V28-U28)/W28</f>
        <v>0.9324324324</v>
      </c>
    </row>
    <row r="30">
      <c r="A30" s="3" t="s">
        <v>18</v>
      </c>
      <c r="B30" s="4">
        <v>1.0</v>
      </c>
      <c r="C30" s="3" t="s">
        <v>16</v>
      </c>
      <c r="D30" s="3">
        <v>0.0</v>
      </c>
      <c r="E30" s="3">
        <v>0.0</v>
      </c>
      <c r="F30" s="3">
        <v>4.0</v>
      </c>
      <c r="G30" s="3">
        <v>8.0</v>
      </c>
      <c r="H30" s="3">
        <v>0.0</v>
      </c>
      <c r="I30" s="3">
        <f>SUM(D30:H31)</f>
        <v>12</v>
      </c>
      <c r="J30" s="3">
        <v>75.0</v>
      </c>
      <c r="K30" s="3">
        <f>75-D30</f>
        <v>75</v>
      </c>
      <c r="L30" s="5">
        <f>(K30-I30)/K30</f>
        <v>0.84</v>
      </c>
      <c r="N30" s="3" t="s">
        <v>19</v>
      </c>
      <c r="O30" s="4">
        <v>2.0</v>
      </c>
      <c r="P30" s="3">
        <v>0.0</v>
      </c>
      <c r="Q30" s="3">
        <v>0.0</v>
      </c>
      <c r="R30" s="3">
        <v>0.0</v>
      </c>
      <c r="S30" s="3">
        <v>0.0</v>
      </c>
      <c r="T30" s="3">
        <v>1.0</v>
      </c>
      <c r="U30" s="3">
        <f>SUM(P30:T31)</f>
        <v>1</v>
      </c>
      <c r="V30" s="3">
        <v>75.0</v>
      </c>
      <c r="W30" s="3">
        <f>75-P30</f>
        <v>75</v>
      </c>
      <c r="X30" s="5">
        <f>(V30-U30)/W30</f>
        <v>0.9866666667</v>
      </c>
    </row>
    <row r="32">
      <c r="A32" s="3" t="s">
        <v>18</v>
      </c>
      <c r="B32" s="4">
        <v>2.0</v>
      </c>
      <c r="C32" s="3" t="s">
        <v>14</v>
      </c>
      <c r="D32" s="3">
        <v>0.0</v>
      </c>
      <c r="E32" s="3">
        <v>0.0</v>
      </c>
      <c r="F32" s="3">
        <v>0.0</v>
      </c>
      <c r="G32" s="3">
        <v>7.0</v>
      </c>
      <c r="H32" s="3">
        <v>5.0</v>
      </c>
      <c r="I32" s="3">
        <f>SUM(D32:H33)</f>
        <v>12</v>
      </c>
      <c r="J32" s="3">
        <v>75.0</v>
      </c>
      <c r="K32" s="3">
        <f>75-D32</f>
        <v>75</v>
      </c>
      <c r="L32" s="5">
        <f>(K32-I32)/K32</f>
        <v>0.84</v>
      </c>
      <c r="N32" s="3" t="s">
        <v>19</v>
      </c>
      <c r="O32" s="4">
        <v>3.0</v>
      </c>
      <c r="P32" s="3">
        <v>0.0</v>
      </c>
      <c r="Q32" s="3">
        <v>0.0</v>
      </c>
      <c r="R32" s="3">
        <v>1.0</v>
      </c>
      <c r="S32" s="3">
        <v>0.0</v>
      </c>
      <c r="T32" s="3">
        <v>4.0</v>
      </c>
      <c r="U32" s="3">
        <f>SUM(P32:T33)</f>
        <v>5</v>
      </c>
      <c r="V32" s="3">
        <v>75.0</v>
      </c>
      <c r="W32" s="3">
        <f>75-P32</f>
        <v>75</v>
      </c>
      <c r="X32" s="5">
        <f>(V32-U32)/W32</f>
        <v>0.9333333333</v>
      </c>
    </row>
    <row r="34">
      <c r="A34" s="3" t="s">
        <v>18</v>
      </c>
      <c r="B34" s="4">
        <v>2.0</v>
      </c>
      <c r="C34" s="3" t="s">
        <v>16</v>
      </c>
      <c r="D34" s="3">
        <v>0.0</v>
      </c>
      <c r="E34" s="3">
        <v>0.0</v>
      </c>
      <c r="F34" s="3">
        <v>5.0</v>
      </c>
      <c r="G34" s="3">
        <v>10.0</v>
      </c>
      <c r="H34" s="3">
        <v>0.0</v>
      </c>
      <c r="I34" s="3">
        <f>SUM(D34:H35)</f>
        <v>15</v>
      </c>
      <c r="J34" s="3">
        <v>75.0</v>
      </c>
      <c r="K34" s="3">
        <f>75-D34</f>
        <v>75</v>
      </c>
      <c r="L34" s="5">
        <f>(K34-I34)/K34</f>
        <v>0.8</v>
      </c>
      <c r="N34" s="3" t="s">
        <v>20</v>
      </c>
      <c r="O34" s="4">
        <v>1.0</v>
      </c>
      <c r="P34" s="3">
        <v>0.0</v>
      </c>
      <c r="Q34" s="3">
        <v>0.0</v>
      </c>
      <c r="R34" s="3">
        <v>0.0</v>
      </c>
      <c r="S34" s="3">
        <v>1.0</v>
      </c>
      <c r="T34" s="3">
        <v>3.0</v>
      </c>
      <c r="U34" s="3">
        <f>SUM(P34:T35)</f>
        <v>4</v>
      </c>
      <c r="V34" s="3">
        <v>75.0</v>
      </c>
      <c r="W34" s="3">
        <f>75-P34</f>
        <v>75</v>
      </c>
      <c r="X34" s="5">
        <f>(V34-U34)/W34</f>
        <v>0.9466666667</v>
      </c>
    </row>
    <row r="36">
      <c r="A36" s="3" t="s">
        <v>18</v>
      </c>
      <c r="B36" s="4">
        <v>3.0</v>
      </c>
      <c r="C36" s="3" t="s">
        <v>14</v>
      </c>
      <c r="D36" s="3">
        <v>0.0</v>
      </c>
      <c r="E36" s="3">
        <v>0.0</v>
      </c>
      <c r="F36" s="3">
        <v>0.0</v>
      </c>
      <c r="G36" s="3">
        <v>8.0</v>
      </c>
      <c r="H36" s="3">
        <v>4.0</v>
      </c>
      <c r="I36" s="3">
        <f>SUM(D36:H37)</f>
        <v>12</v>
      </c>
      <c r="J36" s="3">
        <v>75.0</v>
      </c>
      <c r="K36" s="3">
        <f>75-D36</f>
        <v>75</v>
      </c>
      <c r="L36" s="5">
        <f>(K36-I36)/K36</f>
        <v>0.84</v>
      </c>
      <c r="N36" s="3" t="s">
        <v>20</v>
      </c>
      <c r="O36" s="4">
        <v>2.0</v>
      </c>
      <c r="P36" s="3">
        <v>0.0</v>
      </c>
      <c r="Q36" s="3">
        <v>0.0</v>
      </c>
      <c r="R36" s="3">
        <v>0.0</v>
      </c>
      <c r="S36" s="3">
        <v>0.0</v>
      </c>
      <c r="T36" s="3">
        <v>3.0</v>
      </c>
      <c r="U36" s="3">
        <f>SUM(P36:T37)</f>
        <v>3</v>
      </c>
      <c r="V36" s="3">
        <v>75.0</v>
      </c>
      <c r="W36" s="3">
        <f>75-P36</f>
        <v>75</v>
      </c>
      <c r="X36" s="5">
        <f>(V36-U36)/W36</f>
        <v>0.96</v>
      </c>
    </row>
    <row r="38">
      <c r="A38" s="3" t="s">
        <v>18</v>
      </c>
      <c r="B38" s="4">
        <v>3.0</v>
      </c>
      <c r="C38" s="3" t="s">
        <v>16</v>
      </c>
      <c r="D38" s="3">
        <v>0.0</v>
      </c>
      <c r="E38" s="3">
        <v>0.0</v>
      </c>
      <c r="F38" s="3">
        <v>3.0</v>
      </c>
      <c r="G38" s="3">
        <v>11.0</v>
      </c>
      <c r="H38" s="3">
        <v>0.0</v>
      </c>
      <c r="I38" s="3">
        <f>SUM(D38:H39)</f>
        <v>14</v>
      </c>
      <c r="J38" s="3">
        <v>75.0</v>
      </c>
      <c r="K38" s="3">
        <f>75-D38</f>
        <v>75</v>
      </c>
      <c r="L38" s="5">
        <f>(K38-I38)/K38</f>
        <v>0.8133333333</v>
      </c>
      <c r="N38" s="3" t="s">
        <v>20</v>
      </c>
      <c r="O38" s="4">
        <v>3.0</v>
      </c>
      <c r="P38" s="3">
        <v>0.0</v>
      </c>
      <c r="Q38" s="3">
        <v>0.0</v>
      </c>
      <c r="R38" s="3">
        <v>0.0</v>
      </c>
      <c r="S38" s="3">
        <v>0.0</v>
      </c>
      <c r="T38" s="3">
        <v>6.0</v>
      </c>
      <c r="U38" s="3">
        <f>SUM(P38:T39)</f>
        <v>6</v>
      </c>
      <c r="V38" s="3">
        <v>75.0</v>
      </c>
      <c r="W38" s="3">
        <f>75-P38</f>
        <v>75</v>
      </c>
      <c r="X38" s="5">
        <f>(V38-U38)/W38</f>
        <v>0.92</v>
      </c>
    </row>
    <row r="40">
      <c r="A40" s="1" t="s">
        <v>0</v>
      </c>
      <c r="B40" s="1" t="s">
        <v>1</v>
      </c>
      <c r="C40" s="2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N40" s="3" t="s">
        <v>21</v>
      </c>
      <c r="O40" s="4">
        <v>1.0</v>
      </c>
      <c r="P40" s="3">
        <v>1.0</v>
      </c>
      <c r="Q40" s="3">
        <v>0.0</v>
      </c>
      <c r="R40" s="3">
        <v>0.0</v>
      </c>
      <c r="S40" s="3">
        <v>0.0</v>
      </c>
      <c r="T40" s="3">
        <v>9.0</v>
      </c>
      <c r="U40" s="3">
        <f>SUM(P40:T41)</f>
        <v>10</v>
      </c>
      <c r="V40" s="3">
        <v>75.0</v>
      </c>
      <c r="W40" s="3">
        <f>75-P40</f>
        <v>74</v>
      </c>
      <c r="X40" s="5">
        <f>(V40-U40)/W40</f>
        <v>0.8783783784</v>
      </c>
    </row>
    <row r="41">
      <c r="A41" s="3" t="s">
        <v>22</v>
      </c>
      <c r="B41" s="4">
        <v>1.0</v>
      </c>
      <c r="C41" s="3" t="s">
        <v>14</v>
      </c>
      <c r="D41" s="3">
        <v>0.0</v>
      </c>
      <c r="E41" s="3">
        <v>0.0</v>
      </c>
      <c r="F41" s="3">
        <v>0.0</v>
      </c>
      <c r="G41" s="3">
        <v>13.0</v>
      </c>
      <c r="H41" s="3">
        <v>8.0</v>
      </c>
      <c r="I41" s="3">
        <f>SUM(D41:H42)</f>
        <v>21</v>
      </c>
      <c r="J41" s="3">
        <v>75.0</v>
      </c>
      <c r="K41" s="3">
        <f>75-D41</f>
        <v>75</v>
      </c>
      <c r="L41" s="5">
        <f>(K41-I41)/K41</f>
        <v>0.72</v>
      </c>
    </row>
    <row r="42">
      <c r="N42" s="3" t="s">
        <v>21</v>
      </c>
      <c r="O42" s="4">
        <v>2.0</v>
      </c>
      <c r="P42" s="3">
        <v>0.0</v>
      </c>
      <c r="Q42" s="3">
        <v>0.0</v>
      </c>
      <c r="R42" s="3">
        <v>0.0</v>
      </c>
      <c r="S42" s="3">
        <v>0.0</v>
      </c>
      <c r="T42" s="3">
        <v>4.0</v>
      </c>
      <c r="U42" s="3">
        <f>SUM(P42:T43)</f>
        <v>4</v>
      </c>
      <c r="V42" s="3">
        <v>75.0</v>
      </c>
      <c r="W42" s="3">
        <f>75-P42</f>
        <v>75</v>
      </c>
      <c r="X42" s="5">
        <f>(V42-U42)/W42</f>
        <v>0.9466666667</v>
      </c>
    </row>
    <row r="43">
      <c r="A43" s="3" t="s">
        <v>22</v>
      </c>
      <c r="B43" s="4">
        <v>1.0</v>
      </c>
      <c r="C43" s="3" t="s">
        <v>16</v>
      </c>
      <c r="D43" s="3">
        <v>0.0</v>
      </c>
      <c r="E43" s="3">
        <v>0.0</v>
      </c>
      <c r="F43" s="3">
        <v>0.0</v>
      </c>
      <c r="G43" s="3">
        <v>1.0</v>
      </c>
      <c r="H43" s="3">
        <v>1.0</v>
      </c>
      <c r="I43" s="3">
        <f>SUM(D43:H44)</f>
        <v>2</v>
      </c>
      <c r="J43" s="3">
        <v>75.0</v>
      </c>
      <c r="K43" s="3">
        <f>75-D43</f>
        <v>75</v>
      </c>
      <c r="L43" s="5">
        <f>(K43-I43)/K43</f>
        <v>0.9733333333</v>
      </c>
    </row>
    <row r="44">
      <c r="N44" s="3" t="s">
        <v>21</v>
      </c>
      <c r="O44" s="4">
        <v>3.0</v>
      </c>
      <c r="P44" s="3">
        <v>0.0</v>
      </c>
      <c r="Q44" s="3">
        <v>0.0</v>
      </c>
      <c r="R44" s="3">
        <v>3.0</v>
      </c>
      <c r="S44" s="3">
        <v>0.0</v>
      </c>
      <c r="T44" s="3">
        <v>7.0</v>
      </c>
      <c r="U44" s="3">
        <f>SUM(P44:T45)</f>
        <v>10</v>
      </c>
      <c r="V44" s="3">
        <v>75.0</v>
      </c>
      <c r="W44" s="3">
        <f>75-P44</f>
        <v>75</v>
      </c>
      <c r="X44" s="5">
        <f>(V44-U44)/W44</f>
        <v>0.8666666667</v>
      </c>
    </row>
    <row r="45">
      <c r="A45" s="3" t="s">
        <v>22</v>
      </c>
      <c r="B45" s="4">
        <v>2.0</v>
      </c>
      <c r="C45" s="3" t="s">
        <v>14</v>
      </c>
      <c r="D45" s="3">
        <v>0.0</v>
      </c>
      <c r="E45" s="3">
        <v>0.0</v>
      </c>
      <c r="F45" s="3">
        <v>0.0</v>
      </c>
      <c r="G45" s="3">
        <v>18.0</v>
      </c>
      <c r="H45" s="3">
        <v>7.0</v>
      </c>
      <c r="I45" s="3">
        <f>SUM(D45:H46)</f>
        <v>25</v>
      </c>
      <c r="J45" s="3">
        <v>75.0</v>
      </c>
      <c r="K45" s="3">
        <f>75-D45</f>
        <v>75</v>
      </c>
      <c r="L45" s="5">
        <f>(K45-I45)/K45</f>
        <v>0.6666666667</v>
      </c>
    </row>
    <row r="47">
      <c r="A47" s="3" t="s">
        <v>22</v>
      </c>
      <c r="B47" s="4">
        <v>2.0</v>
      </c>
      <c r="C47" s="3" t="s">
        <v>16</v>
      </c>
      <c r="D47" s="3">
        <v>0.0</v>
      </c>
      <c r="E47" s="3">
        <v>0.0</v>
      </c>
      <c r="F47" s="3">
        <v>0.0</v>
      </c>
      <c r="G47" s="3">
        <v>1.0</v>
      </c>
      <c r="H47" s="3">
        <v>0.0</v>
      </c>
      <c r="I47" s="3">
        <f>SUM(D47:H48)</f>
        <v>1</v>
      </c>
      <c r="J47" s="3">
        <v>75.0</v>
      </c>
      <c r="K47" s="3">
        <f>75-D47</f>
        <v>75</v>
      </c>
      <c r="L47" s="5">
        <f>(K47-I47)/K47</f>
        <v>0.9866666667</v>
      </c>
    </row>
    <row r="49">
      <c r="A49" s="3" t="s">
        <v>22</v>
      </c>
      <c r="B49" s="4">
        <v>3.0</v>
      </c>
      <c r="C49" s="3" t="s">
        <v>14</v>
      </c>
      <c r="D49" s="3">
        <v>0.0</v>
      </c>
      <c r="E49" s="3">
        <v>0.0</v>
      </c>
      <c r="F49" s="3">
        <v>0.0</v>
      </c>
      <c r="G49" s="3">
        <v>13.0</v>
      </c>
      <c r="H49" s="3">
        <v>11.0</v>
      </c>
      <c r="I49" s="3">
        <f>SUM(D49:H50)</f>
        <v>24</v>
      </c>
      <c r="J49" s="3">
        <v>75.0</v>
      </c>
      <c r="K49" s="3">
        <f>75-D49</f>
        <v>75</v>
      </c>
      <c r="L49" s="5">
        <f>(K49-I49)/K49</f>
        <v>0.68</v>
      </c>
    </row>
    <row r="51">
      <c r="A51" s="3" t="s">
        <v>22</v>
      </c>
      <c r="B51" s="4">
        <v>3.0</v>
      </c>
      <c r="C51" s="3" t="s">
        <v>16</v>
      </c>
      <c r="D51" s="3">
        <v>0.0</v>
      </c>
      <c r="E51" s="3">
        <v>0.0</v>
      </c>
      <c r="F51" s="3">
        <v>0.0</v>
      </c>
      <c r="G51" s="3">
        <v>1.0</v>
      </c>
      <c r="H51" s="3">
        <v>1.0</v>
      </c>
      <c r="I51" s="3">
        <f>SUM(D51:H52)</f>
        <v>2</v>
      </c>
      <c r="J51" s="3">
        <v>75.0</v>
      </c>
      <c r="K51" s="3">
        <f>75-D51</f>
        <v>75</v>
      </c>
      <c r="L51" s="5">
        <f>(K51-I51)/K51</f>
        <v>0.9733333333</v>
      </c>
    </row>
    <row r="53">
      <c r="A53" s="1" t="s">
        <v>0</v>
      </c>
      <c r="B53" s="1" t="s">
        <v>1</v>
      </c>
      <c r="C53" s="2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</row>
    <row r="54">
      <c r="A54" s="3" t="s">
        <v>23</v>
      </c>
      <c r="B54" s="3">
        <v>1.0</v>
      </c>
      <c r="C54" s="3" t="s">
        <v>14</v>
      </c>
      <c r="D54" s="3">
        <v>11.0</v>
      </c>
      <c r="E54" s="3">
        <v>9.0</v>
      </c>
      <c r="F54" s="3">
        <v>0.0</v>
      </c>
      <c r="G54" s="3">
        <v>8.0</v>
      </c>
      <c r="H54" s="3">
        <v>7.0</v>
      </c>
      <c r="I54" s="3">
        <f>SUM(D54:H55)</f>
        <v>35</v>
      </c>
      <c r="J54" s="3">
        <v>75.0</v>
      </c>
      <c r="K54" s="3">
        <f>75-D54</f>
        <v>64</v>
      </c>
      <c r="L54" s="6">
        <f>(75-I54)/K54</f>
        <v>0.625</v>
      </c>
    </row>
    <row r="56">
      <c r="A56" s="3" t="s">
        <v>23</v>
      </c>
      <c r="B56" s="3">
        <v>1.0</v>
      </c>
      <c r="C56" s="3" t="s">
        <v>16</v>
      </c>
      <c r="D56" s="3">
        <v>9.0</v>
      </c>
      <c r="E56" s="3">
        <v>8.0</v>
      </c>
      <c r="F56" s="3">
        <v>0.0</v>
      </c>
      <c r="G56" s="3">
        <v>1.0</v>
      </c>
      <c r="H56" s="3">
        <v>2.0</v>
      </c>
      <c r="I56" s="3">
        <f>SUM(D56:H57)</f>
        <v>20</v>
      </c>
      <c r="J56" s="3">
        <v>75.0</v>
      </c>
      <c r="K56" s="3">
        <f>75-D56</f>
        <v>66</v>
      </c>
      <c r="L56" s="6">
        <f>(75-I56)/K56</f>
        <v>0.8333333333</v>
      </c>
    </row>
    <row r="58">
      <c r="A58" s="3" t="s">
        <v>23</v>
      </c>
      <c r="B58" s="3">
        <v>2.0</v>
      </c>
      <c r="C58" s="3" t="s">
        <v>14</v>
      </c>
      <c r="D58" s="3">
        <v>0.0</v>
      </c>
      <c r="E58" s="3">
        <v>6.0</v>
      </c>
      <c r="F58" s="3">
        <v>0.0</v>
      </c>
      <c r="G58" s="3">
        <v>11.0</v>
      </c>
      <c r="H58" s="3">
        <v>4.0</v>
      </c>
      <c r="I58" s="3">
        <f>SUM(D58:H59)</f>
        <v>21</v>
      </c>
      <c r="J58" s="3">
        <v>75.0</v>
      </c>
      <c r="K58" s="3">
        <f>75-D58</f>
        <v>75</v>
      </c>
      <c r="L58" s="6">
        <f>(K58-I58)/K58</f>
        <v>0.72</v>
      </c>
    </row>
    <row r="60">
      <c r="A60" s="3" t="s">
        <v>23</v>
      </c>
      <c r="B60" s="3">
        <v>2.0</v>
      </c>
      <c r="C60" s="3" t="s">
        <v>16</v>
      </c>
      <c r="D60" s="3">
        <v>0.0</v>
      </c>
      <c r="E60" s="3">
        <v>6.0</v>
      </c>
      <c r="F60" s="3">
        <v>0.0</v>
      </c>
      <c r="G60" s="3">
        <v>3.0</v>
      </c>
      <c r="H60" s="3">
        <v>2.0</v>
      </c>
      <c r="I60" s="3">
        <f>SUM(D60:H61)</f>
        <v>11</v>
      </c>
      <c r="J60" s="3">
        <v>75.0</v>
      </c>
      <c r="K60" s="3">
        <f>75-D60</f>
        <v>75</v>
      </c>
      <c r="L60" s="6">
        <f>(K60-I60)/K60</f>
        <v>0.8533333333</v>
      </c>
    </row>
    <row r="62">
      <c r="A62" s="3" t="s">
        <v>23</v>
      </c>
      <c r="B62" s="3">
        <v>3.0</v>
      </c>
      <c r="C62" s="3" t="s">
        <v>14</v>
      </c>
      <c r="D62" s="3">
        <v>0.0</v>
      </c>
      <c r="E62" s="3">
        <v>4.0</v>
      </c>
      <c r="F62" s="3">
        <v>0.0</v>
      </c>
      <c r="G62" s="3">
        <v>9.0</v>
      </c>
      <c r="H62" s="3">
        <v>7.0</v>
      </c>
      <c r="I62" s="3">
        <f>SUM(D62:H63)</f>
        <v>20</v>
      </c>
      <c r="J62" s="3">
        <v>75.0</v>
      </c>
      <c r="K62" s="3">
        <f>75-D62</f>
        <v>75</v>
      </c>
      <c r="L62" s="6">
        <f>(K62-I62)/K62</f>
        <v>0.7333333333</v>
      </c>
    </row>
    <row r="64">
      <c r="A64" s="3" t="s">
        <v>23</v>
      </c>
      <c r="B64" s="3">
        <v>3.0</v>
      </c>
      <c r="C64" s="3" t="s">
        <v>16</v>
      </c>
      <c r="D64" s="3">
        <v>0.0</v>
      </c>
      <c r="E64" s="3">
        <v>6.0</v>
      </c>
      <c r="F64" s="3">
        <v>0.0</v>
      </c>
      <c r="G64" s="3">
        <v>0.0</v>
      </c>
      <c r="H64" s="3">
        <v>3.0</v>
      </c>
      <c r="I64" s="3">
        <f>SUM(D64:H65)</f>
        <v>9</v>
      </c>
      <c r="J64" s="3">
        <v>75.0</v>
      </c>
      <c r="K64" s="3">
        <f>75-D64</f>
        <v>75</v>
      </c>
      <c r="L64" s="6">
        <f>(K64-I64)/K64</f>
        <v>0.88</v>
      </c>
    </row>
    <row r="66">
      <c r="A66" s="3" t="s">
        <v>23</v>
      </c>
      <c r="B66" s="4">
        <v>4.0</v>
      </c>
      <c r="C66" s="3" t="s">
        <v>14</v>
      </c>
      <c r="D66" s="3">
        <v>0.0</v>
      </c>
      <c r="E66" s="3">
        <v>0.0</v>
      </c>
      <c r="F66" s="3">
        <v>0.0</v>
      </c>
      <c r="G66" s="3">
        <v>8.0</v>
      </c>
      <c r="H66" s="3">
        <v>7.0</v>
      </c>
      <c r="I66" s="3">
        <f>SUM(D66:H67)</f>
        <v>15</v>
      </c>
      <c r="J66" s="3">
        <v>75.0</v>
      </c>
      <c r="K66" s="3">
        <f>75-D66</f>
        <v>75</v>
      </c>
      <c r="L66" s="5">
        <f>(K66-I66)/K66</f>
        <v>0.8</v>
      </c>
    </row>
    <row r="68">
      <c r="A68" s="3" t="s">
        <v>23</v>
      </c>
      <c r="B68" s="4">
        <v>4.0</v>
      </c>
      <c r="C68" s="3" t="s">
        <v>16</v>
      </c>
      <c r="D68" s="3">
        <v>0.0</v>
      </c>
      <c r="E68" s="3">
        <v>0.0</v>
      </c>
      <c r="F68" s="3">
        <v>0.0</v>
      </c>
      <c r="G68" s="3">
        <v>1.0</v>
      </c>
      <c r="H68" s="3">
        <v>1.0</v>
      </c>
      <c r="I68" s="3">
        <f>SUM(D68:H69)</f>
        <v>2</v>
      </c>
      <c r="J68" s="3">
        <v>75.0</v>
      </c>
      <c r="K68" s="3">
        <f>75-D68</f>
        <v>75</v>
      </c>
      <c r="L68" s="5">
        <f>(K68-I68)/K68</f>
        <v>0.9733333333</v>
      </c>
    </row>
    <row r="70">
      <c r="A70" s="3" t="s">
        <v>23</v>
      </c>
      <c r="B70" s="4">
        <v>5.0</v>
      </c>
      <c r="C70" s="3" t="s">
        <v>14</v>
      </c>
      <c r="D70" s="3">
        <v>0.0</v>
      </c>
      <c r="E70" s="3">
        <v>1.0</v>
      </c>
      <c r="F70" s="3">
        <v>0.0</v>
      </c>
      <c r="G70" s="3">
        <v>8.0</v>
      </c>
      <c r="H70" s="3">
        <v>3.0</v>
      </c>
      <c r="I70" s="3">
        <f>SUM(D70:H71)</f>
        <v>12</v>
      </c>
      <c r="J70" s="3">
        <v>75.0</v>
      </c>
      <c r="K70" s="3">
        <f>75-D70</f>
        <v>75</v>
      </c>
      <c r="L70" s="5">
        <f>(K70-I70)/K70</f>
        <v>0.84</v>
      </c>
    </row>
    <row r="72">
      <c r="A72" s="3" t="s">
        <v>23</v>
      </c>
      <c r="B72" s="4">
        <v>5.0</v>
      </c>
      <c r="C72" s="3" t="s">
        <v>16</v>
      </c>
      <c r="D72" s="3">
        <v>0.0</v>
      </c>
      <c r="E72" s="3">
        <v>0.0</v>
      </c>
      <c r="F72" s="3">
        <v>0.0</v>
      </c>
      <c r="G72" s="3">
        <v>0.0</v>
      </c>
      <c r="H72" s="3">
        <v>4.0</v>
      </c>
      <c r="I72" s="3">
        <f>SUM(D72:H73)</f>
        <v>4</v>
      </c>
      <c r="J72" s="3">
        <v>75.0</v>
      </c>
      <c r="K72" s="3">
        <f>75-D72</f>
        <v>75</v>
      </c>
      <c r="L72" s="5">
        <f>(K72-I72)/K72</f>
        <v>0.9466666667</v>
      </c>
    </row>
    <row r="74">
      <c r="A74" s="3" t="s">
        <v>23</v>
      </c>
      <c r="B74" s="4">
        <v>6.0</v>
      </c>
      <c r="C74" s="3" t="s">
        <v>14</v>
      </c>
      <c r="D74" s="3">
        <v>0.0</v>
      </c>
      <c r="E74" s="3">
        <v>0.0</v>
      </c>
      <c r="F74" s="3">
        <v>2.0</v>
      </c>
      <c r="G74" s="3">
        <v>10.0</v>
      </c>
      <c r="H74" s="3">
        <v>6.0</v>
      </c>
      <c r="I74" s="3">
        <f>SUM(D74:H75)</f>
        <v>18</v>
      </c>
      <c r="J74" s="3">
        <v>75.0</v>
      </c>
      <c r="K74" s="3">
        <f>75-D74</f>
        <v>75</v>
      </c>
      <c r="L74" s="5">
        <f>(K74-I74)/K74</f>
        <v>0.76</v>
      </c>
    </row>
    <row r="76">
      <c r="A76" s="3" t="s">
        <v>23</v>
      </c>
      <c r="B76" s="4">
        <v>6.0</v>
      </c>
      <c r="C76" s="3" t="s">
        <v>16</v>
      </c>
      <c r="D76" s="3">
        <v>0.0</v>
      </c>
      <c r="E76" s="3">
        <v>0.0</v>
      </c>
      <c r="F76" s="3">
        <v>0.0</v>
      </c>
      <c r="G76" s="3">
        <v>1.0</v>
      </c>
      <c r="H76" s="3">
        <v>6.0</v>
      </c>
      <c r="I76" s="3">
        <f>SUM(D76:H77)</f>
        <v>7</v>
      </c>
      <c r="J76" s="3">
        <v>75.0</v>
      </c>
      <c r="K76" s="3">
        <f>75-D76</f>
        <v>75</v>
      </c>
      <c r="L76" s="5">
        <f>(K76-I76)/K76</f>
        <v>0.9066666667</v>
      </c>
    </row>
    <row r="78">
      <c r="A78" s="1" t="s">
        <v>0</v>
      </c>
      <c r="B78" s="1" t="s">
        <v>1</v>
      </c>
      <c r="C78" s="2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</row>
    <row r="79">
      <c r="A79" s="3" t="s">
        <v>24</v>
      </c>
      <c r="B79" s="4">
        <v>1.0</v>
      </c>
      <c r="C79" s="3" t="s">
        <v>14</v>
      </c>
      <c r="D79" s="3">
        <v>0.0</v>
      </c>
      <c r="E79" s="3">
        <v>0.0</v>
      </c>
      <c r="F79" s="3">
        <v>0.0</v>
      </c>
      <c r="G79" s="3">
        <v>10.0</v>
      </c>
      <c r="H79" s="3">
        <v>3.0</v>
      </c>
      <c r="I79" s="3">
        <f>SUM(D79:H80)</f>
        <v>13</v>
      </c>
      <c r="J79" s="3">
        <v>75.0</v>
      </c>
      <c r="K79" s="3">
        <f>75-D79</f>
        <v>75</v>
      </c>
      <c r="L79" s="5">
        <f>(75-I79)/K79</f>
        <v>0.8266666667</v>
      </c>
    </row>
    <row r="81">
      <c r="A81" s="3" t="s">
        <v>24</v>
      </c>
      <c r="B81" s="4">
        <v>1.0</v>
      </c>
      <c r="C81" s="3" t="s">
        <v>16</v>
      </c>
      <c r="D81" s="3">
        <v>0.0</v>
      </c>
      <c r="E81" s="3">
        <v>0.0</v>
      </c>
      <c r="F81" s="3">
        <v>0.0</v>
      </c>
      <c r="G81" s="3">
        <v>1.0</v>
      </c>
      <c r="H81" s="3">
        <v>3.0</v>
      </c>
      <c r="I81" s="3">
        <f>SUM(D81:H82)</f>
        <v>4</v>
      </c>
      <c r="J81" s="3">
        <v>75.0</v>
      </c>
      <c r="K81" s="3">
        <f>75-D81</f>
        <v>75</v>
      </c>
      <c r="L81" s="5">
        <f>(75-I81)/K81</f>
        <v>0.9466666667</v>
      </c>
    </row>
    <row r="83">
      <c r="A83" s="3" t="s">
        <v>24</v>
      </c>
      <c r="B83" s="4">
        <v>2.0</v>
      </c>
      <c r="C83" s="3" t="s">
        <v>14</v>
      </c>
      <c r="D83" s="3">
        <v>0.0</v>
      </c>
      <c r="E83" s="3">
        <v>0.0</v>
      </c>
      <c r="F83" s="3">
        <v>0.0</v>
      </c>
      <c r="G83" s="3">
        <v>6.0</v>
      </c>
      <c r="H83" s="3">
        <v>1.0</v>
      </c>
      <c r="I83" s="3">
        <f>SUM(D83:H84)</f>
        <v>7</v>
      </c>
      <c r="J83" s="3">
        <v>75.0</v>
      </c>
      <c r="K83" s="3">
        <f>75-D83</f>
        <v>75</v>
      </c>
      <c r="L83" s="5">
        <f>(K83-I83)/K83</f>
        <v>0.9066666667</v>
      </c>
    </row>
    <row r="85">
      <c r="A85" s="3" t="s">
        <v>24</v>
      </c>
      <c r="B85" s="4">
        <v>2.0</v>
      </c>
      <c r="C85" s="3" t="s">
        <v>16</v>
      </c>
      <c r="D85" s="3">
        <v>0.0</v>
      </c>
      <c r="E85" s="3">
        <v>0.0</v>
      </c>
      <c r="F85" s="3">
        <v>0.0</v>
      </c>
      <c r="G85" s="3">
        <v>1.0</v>
      </c>
      <c r="H85" s="3">
        <v>2.0</v>
      </c>
      <c r="I85" s="3">
        <f>SUM(D85:H86)</f>
        <v>3</v>
      </c>
      <c r="J85" s="3">
        <v>75.0</v>
      </c>
      <c r="K85" s="3">
        <f>75-D85</f>
        <v>75</v>
      </c>
      <c r="L85" s="5">
        <f>(K85-I85)/K85</f>
        <v>0.96</v>
      </c>
    </row>
    <row r="87">
      <c r="A87" s="3" t="s">
        <v>24</v>
      </c>
      <c r="B87" s="4">
        <v>3.0</v>
      </c>
      <c r="C87" s="3" t="s">
        <v>14</v>
      </c>
      <c r="D87" s="3">
        <v>0.0</v>
      </c>
      <c r="E87" s="3">
        <v>0.0</v>
      </c>
      <c r="F87" s="3">
        <v>2.0</v>
      </c>
      <c r="G87" s="3">
        <v>11.0</v>
      </c>
      <c r="H87" s="3">
        <v>7.0</v>
      </c>
      <c r="I87" s="3">
        <f>SUM(D87:H88)</f>
        <v>20</v>
      </c>
      <c r="J87" s="3">
        <v>75.0</v>
      </c>
      <c r="K87" s="3">
        <f>75-D87</f>
        <v>75</v>
      </c>
      <c r="L87" s="5">
        <f>(K87-I87)/K87</f>
        <v>0.7333333333</v>
      </c>
    </row>
    <row r="89">
      <c r="A89" s="3" t="s">
        <v>24</v>
      </c>
      <c r="B89" s="4">
        <v>3.0</v>
      </c>
      <c r="C89" s="3" t="s">
        <v>16</v>
      </c>
      <c r="D89" s="3">
        <v>0.0</v>
      </c>
      <c r="E89" s="3">
        <v>0.0</v>
      </c>
      <c r="F89" s="3">
        <v>0.0</v>
      </c>
      <c r="G89" s="3">
        <v>2.0</v>
      </c>
      <c r="H89" s="3">
        <v>1.0</v>
      </c>
      <c r="I89" s="3">
        <f>SUM(D89:H90)</f>
        <v>3</v>
      </c>
      <c r="J89" s="3">
        <v>75.0</v>
      </c>
      <c r="K89" s="3">
        <f>75-D89</f>
        <v>75</v>
      </c>
      <c r="L89" s="5">
        <f>(K89-I89)/K89</f>
        <v>0.96</v>
      </c>
    </row>
  </sheetData>
  <mergeCells count="669">
    <mergeCell ref="G2:G3"/>
    <mergeCell ref="H2:H3"/>
    <mergeCell ref="I2:I3"/>
    <mergeCell ref="J2:J3"/>
    <mergeCell ref="T2:T3"/>
    <mergeCell ref="U2:U3"/>
    <mergeCell ref="V2:V3"/>
    <mergeCell ref="W2:W3"/>
    <mergeCell ref="X2:X3"/>
    <mergeCell ref="K2:K3"/>
    <mergeCell ref="L2:L3"/>
    <mergeCell ref="O2:O3"/>
    <mergeCell ref="P2:P3"/>
    <mergeCell ref="Q2:Q3"/>
    <mergeCell ref="R2:R3"/>
    <mergeCell ref="S2:S3"/>
    <mergeCell ref="N2:N3"/>
    <mergeCell ref="A4:A5"/>
    <mergeCell ref="B4:B5"/>
    <mergeCell ref="C4:C5"/>
    <mergeCell ref="D4:D5"/>
    <mergeCell ref="T4:T5"/>
    <mergeCell ref="U4:U5"/>
    <mergeCell ref="V4:V5"/>
    <mergeCell ref="W4:W5"/>
    <mergeCell ref="X4:X5"/>
    <mergeCell ref="E4:E5"/>
    <mergeCell ref="F4:F5"/>
    <mergeCell ref="O4:O5"/>
    <mergeCell ref="P4:P5"/>
    <mergeCell ref="Q4:Q5"/>
    <mergeCell ref="R4:R5"/>
    <mergeCell ref="S4:S5"/>
    <mergeCell ref="N4:N5"/>
    <mergeCell ref="G4:G5"/>
    <mergeCell ref="H4:H5"/>
    <mergeCell ref="I4:I5"/>
    <mergeCell ref="J4:J5"/>
    <mergeCell ref="K4:K5"/>
    <mergeCell ref="L4:L5"/>
    <mergeCell ref="A6:A7"/>
    <mergeCell ref="B6:B7"/>
    <mergeCell ref="C6:C7"/>
    <mergeCell ref="D6:D7"/>
    <mergeCell ref="E6:E7"/>
    <mergeCell ref="F6:F7"/>
    <mergeCell ref="T6:T7"/>
    <mergeCell ref="U6:U7"/>
    <mergeCell ref="V6:V7"/>
    <mergeCell ref="W6:W7"/>
    <mergeCell ref="X6:X7"/>
    <mergeCell ref="G6:G7"/>
    <mergeCell ref="H6:H7"/>
    <mergeCell ref="O6:O7"/>
    <mergeCell ref="P6:P7"/>
    <mergeCell ref="Q6:Q7"/>
    <mergeCell ref="R6:R7"/>
    <mergeCell ref="S6:S7"/>
    <mergeCell ref="N6:N7"/>
    <mergeCell ref="I6:I7"/>
    <mergeCell ref="J6:J7"/>
    <mergeCell ref="K6:K7"/>
    <mergeCell ref="L6:L7"/>
    <mergeCell ref="A8:A9"/>
    <mergeCell ref="B8:B9"/>
    <mergeCell ref="C8:C9"/>
    <mergeCell ref="D8:D9"/>
    <mergeCell ref="E8:E9"/>
    <mergeCell ref="F8:F9"/>
    <mergeCell ref="G8:G9"/>
    <mergeCell ref="H8:H9"/>
    <mergeCell ref="T8:T9"/>
    <mergeCell ref="U8:U9"/>
    <mergeCell ref="V8:V9"/>
    <mergeCell ref="W8:W9"/>
    <mergeCell ref="X8:X9"/>
    <mergeCell ref="I8:I9"/>
    <mergeCell ref="J8:J9"/>
    <mergeCell ref="O8:O9"/>
    <mergeCell ref="P8:P9"/>
    <mergeCell ref="Q8:Q9"/>
    <mergeCell ref="R8:R9"/>
    <mergeCell ref="S8:S9"/>
    <mergeCell ref="N8:N9"/>
    <mergeCell ref="T10:T11"/>
    <mergeCell ref="U10:U11"/>
    <mergeCell ref="V10:V11"/>
    <mergeCell ref="W10:W11"/>
    <mergeCell ref="X10:X11"/>
    <mergeCell ref="K10:K11"/>
    <mergeCell ref="L10:L11"/>
    <mergeCell ref="O10:O11"/>
    <mergeCell ref="P10:P11"/>
    <mergeCell ref="Q10:Q11"/>
    <mergeCell ref="R10:R11"/>
    <mergeCell ref="S10:S11"/>
    <mergeCell ref="N10:N11"/>
    <mergeCell ref="C12:C13"/>
    <mergeCell ref="D12:D13"/>
    <mergeCell ref="E12:E13"/>
    <mergeCell ref="F12:F13"/>
    <mergeCell ref="G12:G13"/>
    <mergeCell ref="H12:H13"/>
    <mergeCell ref="I12:I13"/>
    <mergeCell ref="J12:J13"/>
    <mergeCell ref="A2:A3"/>
    <mergeCell ref="B2:B3"/>
    <mergeCell ref="C2:C3"/>
    <mergeCell ref="D2:D3"/>
    <mergeCell ref="E2:E3"/>
    <mergeCell ref="F2:F3"/>
    <mergeCell ref="N12:N13"/>
    <mergeCell ref="T12:T13"/>
    <mergeCell ref="U12:U13"/>
    <mergeCell ref="V12:V13"/>
    <mergeCell ref="W12:W13"/>
    <mergeCell ref="X12:X13"/>
    <mergeCell ref="K12:K13"/>
    <mergeCell ref="L12:L13"/>
    <mergeCell ref="O12:O13"/>
    <mergeCell ref="P12:P13"/>
    <mergeCell ref="Q12:Q13"/>
    <mergeCell ref="R12:R13"/>
    <mergeCell ref="S12:S13"/>
    <mergeCell ref="K8:K9"/>
    <mergeCell ref="L8:L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F15:F16"/>
    <mergeCell ref="G15:G16"/>
    <mergeCell ref="H15:H16"/>
    <mergeCell ref="I15:I16"/>
    <mergeCell ref="J15:J16"/>
    <mergeCell ref="K15:K16"/>
    <mergeCell ref="L15:L16"/>
    <mergeCell ref="A12:A13"/>
    <mergeCell ref="B12:B13"/>
    <mergeCell ref="A15:A16"/>
    <mergeCell ref="B15:B16"/>
    <mergeCell ref="C15:C16"/>
    <mergeCell ref="D15:D16"/>
    <mergeCell ref="E15:E16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P38:P39"/>
    <mergeCell ref="Q38:Q39"/>
    <mergeCell ref="R38:R39"/>
    <mergeCell ref="S38:S39"/>
    <mergeCell ref="T38:T39"/>
    <mergeCell ref="U38:U39"/>
    <mergeCell ref="V38:V39"/>
    <mergeCell ref="H38:H39"/>
    <mergeCell ref="I38:I39"/>
    <mergeCell ref="J38:J39"/>
    <mergeCell ref="K38:K39"/>
    <mergeCell ref="L38:L39"/>
    <mergeCell ref="N38:N39"/>
    <mergeCell ref="O38:O39"/>
    <mergeCell ref="H36:H37"/>
    <mergeCell ref="I36:I37"/>
    <mergeCell ref="J36:J37"/>
    <mergeCell ref="K36:K37"/>
    <mergeCell ref="L36:L37"/>
    <mergeCell ref="N36:N37"/>
    <mergeCell ref="O36:O37"/>
    <mergeCell ref="W36:W37"/>
    <mergeCell ref="X36:X37"/>
    <mergeCell ref="P36:P37"/>
    <mergeCell ref="Q36:Q37"/>
    <mergeCell ref="R36:R37"/>
    <mergeCell ref="S36:S37"/>
    <mergeCell ref="T36:T37"/>
    <mergeCell ref="U36:U37"/>
    <mergeCell ref="V36:V37"/>
    <mergeCell ref="W38:W39"/>
    <mergeCell ref="X38:X39"/>
    <mergeCell ref="U40:U41"/>
    <mergeCell ref="V40:V41"/>
    <mergeCell ref="W40:W41"/>
    <mergeCell ref="X40:X41"/>
    <mergeCell ref="N40:N41"/>
    <mergeCell ref="O40:O41"/>
    <mergeCell ref="P40:P41"/>
    <mergeCell ref="Q40:Q41"/>
    <mergeCell ref="R40:R41"/>
    <mergeCell ref="S40:S41"/>
    <mergeCell ref="T40:T41"/>
    <mergeCell ref="A41:A42"/>
    <mergeCell ref="B41:B42"/>
    <mergeCell ref="C41:C42"/>
    <mergeCell ref="D41:D42"/>
    <mergeCell ref="E41:E42"/>
    <mergeCell ref="F41:F42"/>
    <mergeCell ref="G41:G42"/>
    <mergeCell ref="H28:H29"/>
    <mergeCell ref="I28:I29"/>
    <mergeCell ref="J28:J29"/>
    <mergeCell ref="K28:K29"/>
    <mergeCell ref="L28:L29"/>
    <mergeCell ref="N28:N29"/>
    <mergeCell ref="O28:O29"/>
    <mergeCell ref="A28:A29"/>
    <mergeCell ref="B28:B29"/>
    <mergeCell ref="C28:C29"/>
    <mergeCell ref="D28:D29"/>
    <mergeCell ref="E28:E29"/>
    <mergeCell ref="F28:F29"/>
    <mergeCell ref="G28:G29"/>
    <mergeCell ref="P30:P31"/>
    <mergeCell ref="Q30:Q31"/>
    <mergeCell ref="H30:H31"/>
    <mergeCell ref="I30:I31"/>
    <mergeCell ref="J30:J31"/>
    <mergeCell ref="K30:K31"/>
    <mergeCell ref="L30:L31"/>
    <mergeCell ref="N30:N31"/>
    <mergeCell ref="O30:O31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G25:G26"/>
    <mergeCell ref="W28:W29"/>
    <mergeCell ref="X28:X29"/>
    <mergeCell ref="R30:R31"/>
    <mergeCell ref="S30:S31"/>
    <mergeCell ref="T30:T31"/>
    <mergeCell ref="U30:U31"/>
    <mergeCell ref="V30:V31"/>
    <mergeCell ref="W30:W31"/>
    <mergeCell ref="X30:X31"/>
    <mergeCell ref="P28:P29"/>
    <mergeCell ref="Q28:Q29"/>
    <mergeCell ref="R28:R29"/>
    <mergeCell ref="S28:S29"/>
    <mergeCell ref="T28:T29"/>
    <mergeCell ref="U28:U29"/>
    <mergeCell ref="V28:V29"/>
    <mergeCell ref="W34:W35"/>
    <mergeCell ref="X34:X35"/>
    <mergeCell ref="P34:P35"/>
    <mergeCell ref="Q34:Q35"/>
    <mergeCell ref="R34:R35"/>
    <mergeCell ref="S34:S35"/>
    <mergeCell ref="T34:T35"/>
    <mergeCell ref="U34:U35"/>
    <mergeCell ref="V34:V35"/>
    <mergeCell ref="A30:A31"/>
    <mergeCell ref="B30:B31"/>
    <mergeCell ref="C30:C31"/>
    <mergeCell ref="D30:D31"/>
    <mergeCell ref="E30:E31"/>
    <mergeCell ref="F30:F31"/>
    <mergeCell ref="G30:G31"/>
    <mergeCell ref="H32:H33"/>
    <mergeCell ref="I32:I33"/>
    <mergeCell ref="J32:J33"/>
    <mergeCell ref="K32:K33"/>
    <mergeCell ref="L32:L33"/>
    <mergeCell ref="N32:N33"/>
    <mergeCell ref="O32:O33"/>
    <mergeCell ref="W32:W33"/>
    <mergeCell ref="X32:X33"/>
    <mergeCell ref="P32:P33"/>
    <mergeCell ref="Q32:Q33"/>
    <mergeCell ref="R32:R33"/>
    <mergeCell ref="S32:S33"/>
    <mergeCell ref="T32:T33"/>
    <mergeCell ref="U32:U33"/>
    <mergeCell ref="V32:V33"/>
    <mergeCell ref="A32:A33"/>
    <mergeCell ref="B32:B33"/>
    <mergeCell ref="C32:C33"/>
    <mergeCell ref="D32:D33"/>
    <mergeCell ref="E32:E33"/>
    <mergeCell ref="F32:F33"/>
    <mergeCell ref="G32:G33"/>
    <mergeCell ref="H34:H35"/>
    <mergeCell ref="I34:I35"/>
    <mergeCell ref="J34:J35"/>
    <mergeCell ref="K34:K35"/>
    <mergeCell ref="L34:L35"/>
    <mergeCell ref="N34:N35"/>
    <mergeCell ref="O34:O35"/>
    <mergeCell ref="A34:A35"/>
    <mergeCell ref="B34:B35"/>
    <mergeCell ref="C34:C35"/>
    <mergeCell ref="D34:D35"/>
    <mergeCell ref="E34:E35"/>
    <mergeCell ref="F34:F35"/>
    <mergeCell ref="G34:G35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G45:G46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G47:G48"/>
    <mergeCell ref="H41:H42"/>
    <mergeCell ref="I41:I42"/>
    <mergeCell ref="J41:J42"/>
    <mergeCell ref="K41:K42"/>
    <mergeCell ref="L41:L42"/>
    <mergeCell ref="N42:N43"/>
    <mergeCell ref="O42:O43"/>
    <mergeCell ref="W42:W43"/>
    <mergeCell ref="X42:X43"/>
    <mergeCell ref="P42:P43"/>
    <mergeCell ref="Q42:Q43"/>
    <mergeCell ref="R42:R43"/>
    <mergeCell ref="S42:S43"/>
    <mergeCell ref="T42:T43"/>
    <mergeCell ref="U42:U43"/>
    <mergeCell ref="V42:V43"/>
    <mergeCell ref="A36:A37"/>
    <mergeCell ref="B36:B37"/>
    <mergeCell ref="C36:C37"/>
    <mergeCell ref="D36:D37"/>
    <mergeCell ref="E36:E37"/>
    <mergeCell ref="F36:F37"/>
    <mergeCell ref="G36:G37"/>
    <mergeCell ref="A38:A39"/>
    <mergeCell ref="B38:B39"/>
    <mergeCell ref="C38:C39"/>
    <mergeCell ref="D38:D39"/>
    <mergeCell ref="E38:E39"/>
    <mergeCell ref="F38:F39"/>
    <mergeCell ref="G38:G39"/>
    <mergeCell ref="H43:H44"/>
    <mergeCell ref="I43:I44"/>
    <mergeCell ref="J43:J44"/>
    <mergeCell ref="K43:K44"/>
    <mergeCell ref="L43:L44"/>
    <mergeCell ref="N44:N45"/>
    <mergeCell ref="O44:O45"/>
    <mergeCell ref="W44:W45"/>
    <mergeCell ref="X44:X45"/>
    <mergeCell ref="P44:P45"/>
    <mergeCell ref="Q44:Q45"/>
    <mergeCell ref="R44:R45"/>
    <mergeCell ref="S44:S45"/>
    <mergeCell ref="T44:T45"/>
    <mergeCell ref="U44:U45"/>
    <mergeCell ref="V44:V45"/>
    <mergeCell ref="A43:A44"/>
    <mergeCell ref="B43:B44"/>
    <mergeCell ref="C43:C44"/>
    <mergeCell ref="D43:D44"/>
    <mergeCell ref="E43:E44"/>
    <mergeCell ref="F43:F44"/>
    <mergeCell ref="G43:G44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G51:G52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E58:E59"/>
    <mergeCell ref="F58:F59"/>
    <mergeCell ref="G58:G59"/>
    <mergeCell ref="H60:H61"/>
    <mergeCell ref="I60:I61"/>
    <mergeCell ref="J60:J61"/>
    <mergeCell ref="K60:K61"/>
    <mergeCell ref="L60:L61"/>
    <mergeCell ref="A60:A61"/>
    <mergeCell ref="B60:B61"/>
    <mergeCell ref="C60:C61"/>
    <mergeCell ref="D60:D61"/>
    <mergeCell ref="E60:E61"/>
    <mergeCell ref="F60:F61"/>
    <mergeCell ref="G60:G61"/>
    <mergeCell ref="H62:H63"/>
    <mergeCell ref="I62:I63"/>
    <mergeCell ref="J62:J63"/>
    <mergeCell ref="K62:K63"/>
    <mergeCell ref="L62:L63"/>
    <mergeCell ref="A62:A63"/>
    <mergeCell ref="B62:B63"/>
    <mergeCell ref="C62:C63"/>
    <mergeCell ref="D62:D63"/>
    <mergeCell ref="E62:E63"/>
    <mergeCell ref="F62:F63"/>
    <mergeCell ref="G62:G63"/>
    <mergeCell ref="H64:H65"/>
    <mergeCell ref="I64:I65"/>
    <mergeCell ref="J64:J65"/>
    <mergeCell ref="K64:K65"/>
    <mergeCell ref="L64:L65"/>
    <mergeCell ref="A64:A65"/>
    <mergeCell ref="B64:B65"/>
    <mergeCell ref="C64:C65"/>
    <mergeCell ref="D64:D65"/>
    <mergeCell ref="E64:E65"/>
    <mergeCell ref="F64:F65"/>
    <mergeCell ref="G64:G65"/>
    <mergeCell ref="H66:H67"/>
    <mergeCell ref="I66:I67"/>
    <mergeCell ref="J66:J67"/>
    <mergeCell ref="K66:K67"/>
    <mergeCell ref="L66:L67"/>
    <mergeCell ref="A66:A67"/>
    <mergeCell ref="B66:B67"/>
    <mergeCell ref="C66:C67"/>
    <mergeCell ref="D66:D67"/>
    <mergeCell ref="E66:E67"/>
    <mergeCell ref="F66:F67"/>
    <mergeCell ref="G66:G67"/>
    <mergeCell ref="H83:H84"/>
    <mergeCell ref="I83:I84"/>
    <mergeCell ref="J83:J84"/>
    <mergeCell ref="K83:K84"/>
    <mergeCell ref="L83:L84"/>
    <mergeCell ref="A83:A84"/>
    <mergeCell ref="B83:B84"/>
    <mergeCell ref="C83:C84"/>
    <mergeCell ref="D83:D84"/>
    <mergeCell ref="E83:E84"/>
    <mergeCell ref="F83:F84"/>
    <mergeCell ref="G83:G84"/>
    <mergeCell ref="H85:H86"/>
    <mergeCell ref="I85:I86"/>
    <mergeCell ref="J85:J86"/>
    <mergeCell ref="K85:K86"/>
    <mergeCell ref="L85:L86"/>
    <mergeCell ref="A85:A86"/>
    <mergeCell ref="B85:B86"/>
    <mergeCell ref="C85:C86"/>
    <mergeCell ref="D85:D86"/>
    <mergeCell ref="E85:E86"/>
    <mergeCell ref="F85:F86"/>
    <mergeCell ref="G85:G86"/>
    <mergeCell ref="H87:H88"/>
    <mergeCell ref="I87:I88"/>
    <mergeCell ref="J87:J88"/>
    <mergeCell ref="K87:K88"/>
    <mergeCell ref="L87:L88"/>
    <mergeCell ref="A87:A88"/>
    <mergeCell ref="B87:B88"/>
    <mergeCell ref="C87:C88"/>
    <mergeCell ref="D87:D88"/>
    <mergeCell ref="E87:E88"/>
    <mergeCell ref="F87:F88"/>
    <mergeCell ref="G87:G88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G49:G50"/>
    <mergeCell ref="H54:H55"/>
    <mergeCell ref="I54:I55"/>
    <mergeCell ref="J54:J55"/>
    <mergeCell ref="K54:K55"/>
    <mergeCell ref="L54:L55"/>
    <mergeCell ref="A54:A55"/>
    <mergeCell ref="B54:B55"/>
    <mergeCell ref="C54:C55"/>
    <mergeCell ref="D54:D55"/>
    <mergeCell ref="E54:E55"/>
    <mergeCell ref="F54:F55"/>
    <mergeCell ref="G54:G55"/>
    <mergeCell ref="H56:H57"/>
    <mergeCell ref="I56:I57"/>
    <mergeCell ref="J56:J57"/>
    <mergeCell ref="K56:K57"/>
    <mergeCell ref="L56:L57"/>
    <mergeCell ref="A56:A57"/>
    <mergeCell ref="B56:B57"/>
    <mergeCell ref="C56:C57"/>
    <mergeCell ref="D56:D57"/>
    <mergeCell ref="E56:E57"/>
    <mergeCell ref="F56:F57"/>
    <mergeCell ref="G56:G57"/>
    <mergeCell ref="H89:H90"/>
    <mergeCell ref="I89:I90"/>
    <mergeCell ref="J89:J90"/>
    <mergeCell ref="K89:K90"/>
    <mergeCell ref="L89:L90"/>
    <mergeCell ref="A89:A90"/>
    <mergeCell ref="B89:B90"/>
    <mergeCell ref="C89:C90"/>
    <mergeCell ref="D89:D90"/>
    <mergeCell ref="E89:E90"/>
    <mergeCell ref="F89:F90"/>
    <mergeCell ref="G89:G90"/>
    <mergeCell ref="H68:H69"/>
    <mergeCell ref="I68:I69"/>
    <mergeCell ref="J68:J69"/>
    <mergeCell ref="K68:K69"/>
    <mergeCell ref="L68:L69"/>
    <mergeCell ref="A68:A69"/>
    <mergeCell ref="B68:B69"/>
    <mergeCell ref="C68:C69"/>
    <mergeCell ref="D68:D69"/>
    <mergeCell ref="E68:E69"/>
    <mergeCell ref="F68:F69"/>
    <mergeCell ref="G68:G69"/>
    <mergeCell ref="H70:H71"/>
    <mergeCell ref="I70:I71"/>
    <mergeCell ref="J70:J71"/>
    <mergeCell ref="K70:K71"/>
    <mergeCell ref="L70:L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J72:J73"/>
    <mergeCell ref="K72:K73"/>
    <mergeCell ref="L72:L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K74:K75"/>
    <mergeCell ref="L74:L75"/>
    <mergeCell ref="A74:A75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K76:K77"/>
    <mergeCell ref="L76:L77"/>
    <mergeCell ref="A76:A77"/>
    <mergeCell ref="B76:B77"/>
    <mergeCell ref="C76:C77"/>
    <mergeCell ref="D76:D77"/>
    <mergeCell ref="E76:E77"/>
    <mergeCell ref="F76:F77"/>
    <mergeCell ref="G76:G77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G79:G80"/>
    <mergeCell ref="H81:H82"/>
    <mergeCell ref="I81:I82"/>
    <mergeCell ref="J81:J82"/>
    <mergeCell ref="K81:K82"/>
    <mergeCell ref="L81:L82"/>
    <mergeCell ref="A81:A82"/>
    <mergeCell ref="B81:B82"/>
    <mergeCell ref="C81:C82"/>
    <mergeCell ref="D81:D82"/>
    <mergeCell ref="E81:E82"/>
    <mergeCell ref="F81:F82"/>
    <mergeCell ref="G81:G82"/>
  </mergeCells>
  <drawing r:id="rId1"/>
</worksheet>
</file>